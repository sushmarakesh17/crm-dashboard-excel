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shika\Desktop\Sushma- DS &amp; G AI notes\Projects\19.CRM Dashboard\"/>
    </mc:Choice>
  </mc:AlternateContent>
  <xr:revisionPtr revIDLastSave="0" documentId="13_ncr:1_{B80B7F2C-FD68-4995-992E-A71EEBD400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s" sheetId="1" r:id="rId1"/>
    <sheet name="Dashboard" sheetId="2" r:id="rId2"/>
    <sheet name="CRM 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 a="1"/>
  <c r="L5" i="2"/>
  <c r="I3" i="2"/>
  <c r="I4" i="2"/>
  <c r="I5" i="2"/>
  <c r="F3" i="2"/>
  <c r="F4" i="2"/>
  <c r="F5" i="2"/>
  <c r="B1" i="2"/>
  <c r="B12" i="2"/>
  <c r="B11" i="2"/>
  <c r="B10" i="2"/>
  <c r="B9" i="2"/>
  <c r="B8" i="2"/>
  <c r="B7" i="2"/>
  <c r="B5" i="2"/>
  <c r="B4" i="2"/>
  <c r="B3" i="2"/>
  <c r="B6" i="2" s="1"/>
  <c r="B2" i="2"/>
  <c r="B1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<sst xmlns="http://schemas.openxmlformats.org/spreadsheetml/2006/main" count="407" uniqueCount="212">
  <si>
    <t>Customer ID</t>
  </si>
  <si>
    <t>Customer Name</t>
  </si>
  <si>
    <t>Company</t>
  </si>
  <si>
    <t>Industry</t>
  </si>
  <si>
    <t>Lead Source</t>
  </si>
  <si>
    <t>Status</t>
  </si>
  <si>
    <t>Sales Rep</t>
  </si>
  <si>
    <t>Deal Value</t>
  </si>
  <si>
    <t>Last Contact</t>
  </si>
  <si>
    <t>Next Follow-up</t>
  </si>
  <si>
    <t>C001</t>
  </si>
  <si>
    <t>IT</t>
  </si>
  <si>
    <t>LinkedIn</t>
  </si>
  <si>
    <t>Won</t>
  </si>
  <si>
    <t>Alex</t>
  </si>
  <si>
    <t>C002</t>
  </si>
  <si>
    <t>Retail</t>
  </si>
  <si>
    <t>Website</t>
  </si>
  <si>
    <t>Lost</t>
  </si>
  <si>
    <t>Emma</t>
  </si>
  <si>
    <t>C003</t>
  </si>
  <si>
    <t>TechSoft</t>
  </si>
  <si>
    <t>Referral</t>
  </si>
  <si>
    <t>Pending</t>
  </si>
  <si>
    <t>John Smith</t>
  </si>
  <si>
    <t>ABC Technologies</t>
  </si>
  <si>
    <t>Sarah Johnson</t>
  </si>
  <si>
    <t>XYZ Retail</t>
  </si>
  <si>
    <t>David Brown</t>
  </si>
  <si>
    <t>C004</t>
  </si>
  <si>
    <t>Emily Davis</t>
  </si>
  <si>
    <t>Green Foods</t>
  </si>
  <si>
    <t>Food</t>
  </si>
  <si>
    <t>Chris</t>
  </si>
  <si>
    <t>C005</t>
  </si>
  <si>
    <t>Michael Wilson</t>
  </si>
  <si>
    <t>Bright Finance</t>
  </si>
  <si>
    <t>Finance</t>
  </si>
  <si>
    <t>C006</t>
  </si>
  <si>
    <t>Jessica Miller</t>
  </si>
  <si>
    <t>Sky Logistics</t>
  </si>
  <si>
    <t>Logistics</t>
  </si>
  <si>
    <t>C007</t>
  </si>
  <si>
    <t>Daniel Moore</t>
  </si>
  <si>
    <t>HealthCare Plus</t>
  </si>
  <si>
    <t>Healthcare</t>
  </si>
  <si>
    <t>C008</t>
  </si>
  <si>
    <t>Olivia Taylor</t>
  </si>
  <si>
    <t>Nova Solutions</t>
  </si>
  <si>
    <t>C009</t>
  </si>
  <si>
    <t>William Anderson</t>
  </si>
  <si>
    <t>Urban Builders</t>
  </si>
  <si>
    <t>Construction</t>
  </si>
  <si>
    <t>C010</t>
  </si>
  <si>
    <t>Sophia Thomas</t>
  </si>
  <si>
    <t>Elite Fashion</t>
  </si>
  <si>
    <t>C011</t>
  </si>
  <si>
    <t>James Jackson</t>
  </si>
  <si>
    <t>Smart Energy</t>
  </si>
  <si>
    <t>Energy</t>
  </si>
  <si>
    <t>C012</t>
  </si>
  <si>
    <t>Isabella White</t>
  </si>
  <si>
    <t>Blue Ocean</t>
  </si>
  <si>
    <t>Shipping</t>
  </si>
  <si>
    <t>C013</t>
  </si>
  <si>
    <t>Benjamin Harris</t>
  </si>
  <si>
    <t>Pixel Media</t>
  </si>
  <si>
    <t>Marketing</t>
  </si>
  <si>
    <t>C014</t>
  </si>
  <si>
    <t>Mia Martin</t>
  </si>
  <si>
    <t>Alpha Motors</t>
  </si>
  <si>
    <t>Automobile</t>
  </si>
  <si>
    <t>C015</t>
  </si>
  <si>
    <t>Lucas Thompson</t>
  </si>
  <si>
    <t>Secure Bank</t>
  </si>
  <si>
    <t>Banking</t>
  </si>
  <si>
    <t>C016</t>
  </si>
  <si>
    <t>Charlotte Garcia</t>
  </si>
  <si>
    <t>Fresh Farms</t>
  </si>
  <si>
    <t>Agriculture</t>
  </si>
  <si>
    <t>C017</t>
  </si>
  <si>
    <t>Henry Martinez</t>
  </si>
  <si>
    <t>Digi World</t>
  </si>
  <si>
    <t>C018</t>
  </si>
  <si>
    <t>Amelia Robinson</t>
  </si>
  <si>
    <t>Prime Hotels</t>
  </si>
  <si>
    <t>Hospitality</t>
  </si>
  <si>
    <t>C019</t>
  </si>
  <si>
    <t>Alexander Clark</t>
  </si>
  <si>
    <t>BuildMax</t>
  </si>
  <si>
    <t>C020</t>
  </si>
  <si>
    <t>Evelyn Rodriguez</t>
  </si>
  <si>
    <t>Metro Telecom</t>
  </si>
  <si>
    <t>Telecom</t>
  </si>
  <si>
    <t>C021</t>
  </si>
  <si>
    <t>Ethan Lewis</t>
  </si>
  <si>
    <t>Ocean Exports</t>
  </si>
  <si>
    <t>Export</t>
  </si>
  <si>
    <t>C022</t>
  </si>
  <si>
    <t>Harper Lee</t>
  </si>
  <si>
    <t>Fashion Hub</t>
  </si>
  <si>
    <t>C023</t>
  </si>
  <si>
    <t>Mason Walker</t>
  </si>
  <si>
    <t>Medico Care</t>
  </si>
  <si>
    <t>C024</t>
  </si>
  <si>
    <t>Ella Hall</t>
  </si>
  <si>
    <t>Future Tech</t>
  </si>
  <si>
    <t>C025</t>
  </si>
  <si>
    <t>Logan Allen</t>
  </si>
  <si>
    <t>Royal Finance</t>
  </si>
  <si>
    <t>C026</t>
  </si>
  <si>
    <t>Avery Young</t>
  </si>
  <si>
    <t>Green Energy</t>
  </si>
  <si>
    <t>C027</t>
  </si>
  <si>
    <t>Jacob Hernandez</t>
  </si>
  <si>
    <t>City Builders</t>
  </si>
  <si>
    <t>C028</t>
  </si>
  <si>
    <t>Scarlett King</t>
  </si>
  <si>
    <t>Food Basket</t>
  </si>
  <si>
    <t>C029</t>
  </si>
  <si>
    <t>Sebastian Wright</t>
  </si>
  <si>
    <t>Vision Marketing</t>
  </si>
  <si>
    <t>C030</t>
  </si>
  <si>
    <t>Grace Lopez</t>
  </si>
  <si>
    <t>Cloud Solutions</t>
  </si>
  <si>
    <t>C031</t>
  </si>
  <si>
    <t>Matthew Hill</t>
  </si>
  <si>
    <t>Auto Parts Ltd</t>
  </si>
  <si>
    <t>C032</t>
  </si>
  <si>
    <t>Chloe Scott</t>
  </si>
  <si>
    <t>Sunrise Hotels</t>
  </si>
  <si>
    <t>C033</t>
  </si>
  <si>
    <t>Joseph Green</t>
  </si>
  <si>
    <t>Speed Logistics</t>
  </si>
  <si>
    <t>C034</t>
  </si>
  <si>
    <t>Lily Adams</t>
  </si>
  <si>
    <t>Prime Telecom</t>
  </si>
  <si>
    <t>C035</t>
  </si>
  <si>
    <t>Samuel Baker</t>
  </si>
  <si>
    <t>FinEdge</t>
  </si>
  <si>
    <t>C036</t>
  </si>
  <si>
    <t>Zoe Nelson</t>
  </si>
  <si>
    <t>Agro Life</t>
  </si>
  <si>
    <t>C037</t>
  </si>
  <si>
    <t>Gabriel Carter</t>
  </si>
  <si>
    <t>Health First</t>
  </si>
  <si>
    <t>C038</t>
  </si>
  <si>
    <t>Hannah Mitchell</t>
  </si>
  <si>
    <t>Smart Homes</t>
  </si>
  <si>
    <t>Real Estate</t>
  </si>
  <si>
    <t>C039</t>
  </si>
  <si>
    <t>Jack Perez</t>
  </si>
  <si>
    <t>Ocean Trade</t>
  </si>
  <si>
    <t>C040</t>
  </si>
  <si>
    <t>Aria Roberts</t>
  </si>
  <si>
    <t>Retail World</t>
  </si>
  <si>
    <t>C041</t>
  </si>
  <si>
    <t>Owen Turner</t>
  </si>
  <si>
    <t>Digital Hub</t>
  </si>
  <si>
    <t>C042</t>
  </si>
  <si>
    <t>Victoria Phillips</t>
  </si>
  <si>
    <t>Metro Builders</t>
  </si>
  <si>
    <t>C043</t>
  </si>
  <si>
    <t>Carter Campbell</t>
  </si>
  <si>
    <t>Elite Foods</t>
  </si>
  <si>
    <t>C044</t>
  </si>
  <si>
    <t>Nora Parker</t>
  </si>
  <si>
    <t>NextGen Tech</t>
  </si>
  <si>
    <t>C045</t>
  </si>
  <si>
    <t>Wyatt Evans</t>
  </si>
  <si>
    <t>Secure Finance</t>
  </si>
  <si>
    <t>C046</t>
  </si>
  <si>
    <t>Riley Edwards</t>
  </si>
  <si>
    <t>Urban Hotels</t>
  </si>
  <si>
    <t>C047</t>
  </si>
  <si>
    <t>Leo Collins</t>
  </si>
  <si>
    <t>Fast Logistics</t>
  </si>
  <si>
    <t>C048</t>
  </si>
  <si>
    <t>Stella Stewart</t>
  </si>
  <si>
    <t>MediCare Solutions</t>
  </si>
  <si>
    <t>C049</t>
  </si>
  <si>
    <t>Nathan Sanchez</t>
  </si>
  <si>
    <t>Vision Telecom</t>
  </si>
  <si>
    <t>C050</t>
  </si>
  <si>
    <t>Aurora Morris</t>
  </si>
  <si>
    <t>Future Finance</t>
  </si>
  <si>
    <t>Total Deal Value</t>
  </si>
  <si>
    <t>Won Deals</t>
  </si>
  <si>
    <t>Lost Deals</t>
  </si>
  <si>
    <t>Pending Deals</t>
  </si>
  <si>
    <t>Win Rate</t>
  </si>
  <si>
    <t>Average Deal Value</t>
  </si>
  <si>
    <t>Sales by Sales Rep</t>
  </si>
  <si>
    <t>Leads by Source</t>
  </si>
  <si>
    <t>Deals by Status</t>
  </si>
  <si>
    <t>won</t>
  </si>
  <si>
    <t>lost</t>
  </si>
  <si>
    <t>Upcoming Follow-ups</t>
  </si>
  <si>
    <t>Total Customers</t>
  </si>
  <si>
    <t>A</t>
  </si>
  <si>
    <t>B</t>
  </si>
  <si>
    <t>Step 13: Create the Dashboard Layout</t>
  </si>
  <si>
    <t>CRM DASHBOARD</t>
  </si>
  <si>
    <t>C</t>
  </si>
  <si>
    <t>D</t>
  </si>
  <si>
    <t>E</t>
  </si>
  <si>
    <t>F</t>
  </si>
  <si>
    <t>Revenue</t>
  </si>
  <si>
    <t>Avg Deal Value</t>
  </si>
  <si>
    <t>`</t>
  </si>
  <si>
    <t>Count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</si>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</sst>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5" fontId="0" fillId="0" borderId="1" xfId="0" applyNumberForma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9" fontId="0" fillId="8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Deals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Dashboard!$E$3:$E$5</c:f>
              <c:strCache>
                <c:ptCount val="3"/>
                <c:pt idx="0">
                  <c:v>Won Deals</c:v>
                </c:pt>
                <c:pt idx="1">
                  <c:v>Lost Deals</c:v>
                </c:pt>
                <c:pt idx="2">
                  <c:v>Pending Deals</c:v>
                </c:pt>
              </c:strCache>
            </c:strRef>
          </c:cat>
          <c:val>
            <c:numRef>
              <c:f>Dashboard!$F$3:$F$5</c:f>
              <c:numCache>
                <c:formatCode>General</c:formatCode>
                <c:ptCount val="3"/>
                <c:pt idx="0">
                  <c:v>25</c:v>
                </c:pt>
                <c:pt idx="1">
                  <c:v>12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7-4F48-A550-1712674CB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Dashboard!$H$3:$H$5</c:f>
              <c:strCache>
                <c:ptCount val="3"/>
                <c:pt idx="0">
                  <c:v>Alex</c:v>
                </c:pt>
                <c:pt idx="1">
                  <c:v>Emma</c:v>
                </c:pt>
                <c:pt idx="2">
                  <c:v>Chris</c:v>
                </c:pt>
              </c:strCache>
            </c:strRef>
          </c:cat>
          <c:val>
            <c:numRef>
              <c:f>Dashboard!$I$3:$I$5</c:f>
              <c:numCache>
                <c:formatCode>General</c:formatCode>
                <c:ptCount val="3"/>
                <c:pt idx="0">
                  <c:v>1012000</c:v>
                </c:pt>
                <c:pt idx="1">
                  <c:v>1003000</c:v>
                </c:pt>
                <c:pt idx="2">
                  <c:v>708000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9-4050-93C7-05373BCC2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5599"/>
        <c:axId val="13306319"/>
      </c:barChart>
      <c:catAx>
        <c:axId val="4391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319"/>
        <c:crosses val="autoZero"/>
        <c:auto val="1"/>
        <c:lblAlgn val="ctr"/>
        <c:lblOffset val="100"/>
        <c:noMultiLvlLbl val="0"/>
      </c:catAx>
      <c:valAx>
        <c:axId val="1330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Dashboard!$L$2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Dashboard!$K$3:$K$5</c:f>
              <c:strCache>
                <c:ptCount val="3"/>
                <c:pt idx="0">
                  <c:v>LinkedIn</c:v>
                </c:pt>
                <c:pt idx="1">
                  <c:v>Website</c:v>
                </c:pt>
                <c:pt idx="2">
                  <c:v>Referral</c:v>
                </c:pt>
              </c:strCache>
            </c:strRef>
          </c:cat>
          <c:val>
            <c:numRef>
              <c:f>Dashboard!$L$3:$L$5</c:f>
              <c:numCache>
                <c:formatCode>General</c:formatCode>
                <c:ptCount val="3"/>
                <c:pt idx="0">
                  <c:v>17</c:v>
                </c:pt>
                <c:pt idx="1">
                  <c:v>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2-4011-9444-CA8663C23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748831"/>
        <c:axId val="13289999"/>
      </c:barChart>
      <c:catAx>
        <c:axId val="20874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999"/>
        <c:crosses val="autoZero"/>
        <c:auto val="1"/>
        <c:lblAlgn val="ctr"/>
        <c:lblOffset val="100"/>
        <c:noMultiLvlLbl val="0"/>
      </c:catAx>
      <c:valAx>
        <c:axId val="1328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4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13369</xdr:colOff>
      <xdr:row>9</xdr:row>
      <xdr:rowOff>80212</xdr:rowOff>
    </xdr:from>
    <xdr:to>
      <xdr:col>6</xdr:col>
      <xdr:colOff>260685</xdr:colOff>
      <xdr:row>19</xdr:row>
      <xdr:rowOff>120316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0CA57A-14E1-9439-2426-BF8FE36F2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147053</xdr:colOff>
      <xdr:row>9</xdr:row>
      <xdr:rowOff>73526</xdr:rowOff>
    </xdr:from>
    <xdr:to>
      <xdr:col>9</xdr:col>
      <xdr:colOff>855579</xdr:colOff>
      <xdr:row>19</xdr:row>
      <xdr:rowOff>100263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14587-F0BF-D45C-2800-EE25EFA23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949157</xdr:colOff>
      <xdr:row>7</xdr:row>
      <xdr:rowOff>153737</xdr:rowOff>
    </xdr:from>
    <xdr:to>
      <xdr:col>12</xdr:col>
      <xdr:colOff>768684</xdr:colOff>
      <xdr:row>19</xdr:row>
      <xdr:rowOff>131679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14C538-E038-BC30-D8B8-0601B254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E23" sqref="E23"/>
    </sheetView>
  </sheetViews>
  <sheetFormatPr defaultRowHeight="14.4"/>
  <cols>
    <col min="1" max="1" width="11.33203125" style="4" bestFit="1" customWidth="1"/>
    <col min="2" max="2" width="14.6640625" style="4" bestFit="1" customWidth="1"/>
    <col min="3" max="3" width="9.109375" style="4" bestFit="1" customWidth="1"/>
    <col min="4" max="4" width="8" style="4" bestFit="1" customWidth="1"/>
    <col min="5" max="5" width="11.21875" style="4" bestFit="1" customWidth="1"/>
    <col min="6" max="6" width="7.33203125" style="4" bestFit="1" customWidth="1"/>
    <col min="7" max="7" width="8.88671875" style="4"/>
    <col min="8" max="8" width="9.88671875" style="4" bestFit="1" customWidth="1"/>
    <col min="9" max="9" width="11.33203125" style="4" bestFit="1" customWidth="1"/>
    <col min="10" max="10" width="13.77734375" style="4" bestFit="1" customWidth="1"/>
    <col min="11" max="16384" width="8.88671875" style="4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</row>
    <row r="2" spans="1:10">
      <c r="A2" s="9" t="s">
        <v>10</v>
      </c>
      <c r="B2" s="9" t="s">
        <v>24</v>
      </c>
      <c r="C2" s="9" t="s">
        <v>25</v>
      </c>
      <c r="D2" s="9" t="s">
        <v>11</v>
      </c>
      <c r="E2" s="9" t="s">
        <v>12</v>
      </c>
      <c r="F2" s="9" t="s">
        <v>13</v>
      </c>
      <c r="G2" s="9" t="s">
        <v>14</v>
      </c>
      <c r="H2" s="10">
        <v>50000</v>
      </c>
      <c r="I2" s="11">
        <v>46204</v>
      </c>
      <c r="J2" s="11">
        <v>46213</v>
      </c>
    </row>
    <row r="3" spans="1:10">
      <c r="A3" s="9" t="s">
        <v>15</v>
      </c>
      <c r="B3" s="9" t="s">
        <v>26</v>
      </c>
      <c r="C3" s="9" t="s">
        <v>27</v>
      </c>
      <c r="D3" s="9" t="s">
        <v>16</v>
      </c>
      <c r="E3" s="9" t="s">
        <v>17</v>
      </c>
      <c r="F3" s="9" t="s">
        <v>18</v>
      </c>
      <c r="G3" s="9" t="s">
        <v>19</v>
      </c>
      <c r="H3" s="10">
        <v>25000</v>
      </c>
      <c r="I3" s="11">
        <v>46203</v>
      </c>
      <c r="J3" s="11">
        <v>46211</v>
      </c>
    </row>
    <row r="4" spans="1:10">
      <c r="A4" s="9" t="s">
        <v>20</v>
      </c>
      <c r="B4" s="9" t="s">
        <v>28</v>
      </c>
      <c r="C4" s="9" t="s">
        <v>21</v>
      </c>
      <c r="D4" s="9" t="s">
        <v>11</v>
      </c>
      <c r="E4" s="9" t="s">
        <v>22</v>
      </c>
      <c r="F4" s="9" t="s">
        <v>23</v>
      </c>
      <c r="G4" s="9" t="s">
        <v>14</v>
      </c>
      <c r="H4" s="10">
        <v>40000</v>
      </c>
      <c r="I4" s="11">
        <v>46205</v>
      </c>
      <c r="J4" s="11">
        <v>46215</v>
      </c>
    </row>
    <row r="5" spans="1:10">
      <c r="A5" s="9" t="s">
        <v>29</v>
      </c>
      <c r="B5" s="9" t="s">
        <v>30</v>
      </c>
      <c r="C5" s="9" t="s">
        <v>31</v>
      </c>
      <c r="D5" s="9" t="s">
        <v>32</v>
      </c>
      <c r="E5" s="9" t="s">
        <v>17</v>
      </c>
      <c r="F5" s="9" t="s">
        <v>13</v>
      </c>
      <c r="G5" s="9" t="s">
        <v>33</v>
      </c>
      <c r="H5" s="10">
        <v>60000</v>
      </c>
      <c r="I5" s="11">
        <v>46201</v>
      </c>
      <c r="J5" s="11">
        <v>46212</v>
      </c>
    </row>
    <row r="6" spans="1:10">
      <c r="A6" s="9" t="s">
        <v>34</v>
      </c>
      <c r="B6" s="9" t="s">
        <v>35</v>
      </c>
      <c r="C6" s="9" t="s">
        <v>36</v>
      </c>
      <c r="D6" s="9" t="s">
        <v>37</v>
      </c>
      <c r="E6" s="9" t="s">
        <v>12</v>
      </c>
      <c r="F6" s="9" t="s">
        <v>23</v>
      </c>
      <c r="G6" s="9" t="s">
        <v>19</v>
      </c>
      <c r="H6" s="10">
        <v>45000</v>
      </c>
      <c r="I6" s="11">
        <v>46202</v>
      </c>
      <c r="J6" s="11">
        <v>46214</v>
      </c>
    </row>
    <row r="7" spans="1:10">
      <c r="A7" s="9" t="s">
        <v>38</v>
      </c>
      <c r="B7" s="9" t="s">
        <v>39</v>
      </c>
      <c r="C7" s="9" t="s">
        <v>40</v>
      </c>
      <c r="D7" s="9" t="s">
        <v>41</v>
      </c>
      <c r="E7" s="9" t="s">
        <v>22</v>
      </c>
      <c r="F7" s="9" t="s">
        <v>13</v>
      </c>
      <c r="G7" s="9" t="s">
        <v>14</v>
      </c>
      <c r="H7" s="10">
        <v>70000</v>
      </c>
      <c r="I7" s="11">
        <v>46200</v>
      </c>
      <c r="J7" s="11">
        <v>46211</v>
      </c>
    </row>
    <row r="8" spans="1:10">
      <c r="A8" s="9" t="s">
        <v>42</v>
      </c>
      <c r="B8" s="9" t="s">
        <v>43</v>
      </c>
      <c r="C8" s="9" t="s">
        <v>44</v>
      </c>
      <c r="D8" s="9" t="s">
        <v>45</v>
      </c>
      <c r="E8" s="9" t="s">
        <v>17</v>
      </c>
      <c r="F8" s="9" t="s">
        <v>18</v>
      </c>
      <c r="G8" s="9" t="s">
        <v>33</v>
      </c>
      <c r="H8" s="10">
        <v>30000</v>
      </c>
      <c r="I8" s="11">
        <v>46198</v>
      </c>
      <c r="J8" s="11">
        <v>46216</v>
      </c>
    </row>
    <row r="9" spans="1:10">
      <c r="A9" s="9" t="s">
        <v>46</v>
      </c>
      <c r="B9" s="9" t="s">
        <v>47</v>
      </c>
      <c r="C9" s="9" t="s">
        <v>48</v>
      </c>
      <c r="D9" s="9" t="s">
        <v>11</v>
      </c>
      <c r="E9" s="9" t="s">
        <v>12</v>
      </c>
      <c r="F9" s="9" t="s">
        <v>13</v>
      </c>
      <c r="G9" s="9" t="s">
        <v>19</v>
      </c>
      <c r="H9" s="10">
        <v>55000</v>
      </c>
      <c r="I9" s="11">
        <v>46204</v>
      </c>
      <c r="J9" s="11">
        <v>46213</v>
      </c>
    </row>
    <row r="10" spans="1:10">
      <c r="A10" s="9" t="s">
        <v>49</v>
      </c>
      <c r="B10" s="9" t="s">
        <v>50</v>
      </c>
      <c r="C10" s="9" t="s">
        <v>51</v>
      </c>
      <c r="D10" s="9" t="s">
        <v>52</v>
      </c>
      <c r="E10" s="9" t="s">
        <v>22</v>
      </c>
      <c r="F10" s="9" t="s">
        <v>23</v>
      </c>
      <c r="G10" s="9" t="s">
        <v>14</v>
      </c>
      <c r="H10" s="10">
        <v>65000</v>
      </c>
      <c r="I10" s="11">
        <v>46205</v>
      </c>
      <c r="J10" s="11">
        <v>46217</v>
      </c>
    </row>
    <row r="11" spans="1:10">
      <c r="A11" s="9" t="s">
        <v>53</v>
      </c>
      <c r="B11" s="9" t="s">
        <v>54</v>
      </c>
      <c r="C11" s="9" t="s">
        <v>55</v>
      </c>
      <c r="D11" s="9" t="s">
        <v>16</v>
      </c>
      <c r="E11" s="9" t="s">
        <v>17</v>
      </c>
      <c r="F11" s="9" t="s">
        <v>13</v>
      </c>
      <c r="G11" s="9" t="s">
        <v>33</v>
      </c>
      <c r="H11" s="10">
        <v>35000</v>
      </c>
      <c r="I11" s="11">
        <v>46203</v>
      </c>
      <c r="J11" s="11">
        <v>46212</v>
      </c>
    </row>
    <row r="12" spans="1:10">
      <c r="A12" s="9" t="s">
        <v>56</v>
      </c>
      <c r="B12" s="9" t="s">
        <v>57</v>
      </c>
      <c r="C12" s="9" t="s">
        <v>58</v>
      </c>
      <c r="D12" s="9" t="s">
        <v>59</v>
      </c>
      <c r="E12" s="9" t="s">
        <v>12</v>
      </c>
      <c r="F12" s="9" t="s">
        <v>13</v>
      </c>
      <c r="G12" s="9" t="s">
        <v>19</v>
      </c>
      <c r="H12" s="10">
        <v>72000</v>
      </c>
      <c r="I12" s="11">
        <v>46202</v>
      </c>
      <c r="J12" s="11">
        <v>46214</v>
      </c>
    </row>
    <row r="13" spans="1:10">
      <c r="A13" s="9" t="s">
        <v>60</v>
      </c>
      <c r="B13" s="9" t="s">
        <v>61</v>
      </c>
      <c r="C13" s="9" t="s">
        <v>62</v>
      </c>
      <c r="D13" s="9" t="s">
        <v>63</v>
      </c>
      <c r="E13" s="9" t="s">
        <v>22</v>
      </c>
      <c r="F13" s="9" t="s">
        <v>18</v>
      </c>
      <c r="G13" s="9" t="s">
        <v>14</v>
      </c>
      <c r="H13" s="10">
        <v>27000</v>
      </c>
      <c r="I13" s="11">
        <v>46201</v>
      </c>
      <c r="J13" s="11">
        <v>46213</v>
      </c>
    </row>
    <row r="14" spans="1:10">
      <c r="A14" s="9" t="s">
        <v>64</v>
      </c>
      <c r="B14" s="9" t="s">
        <v>65</v>
      </c>
      <c r="C14" s="9" t="s">
        <v>66</v>
      </c>
      <c r="D14" s="9" t="s">
        <v>67</v>
      </c>
      <c r="E14" s="9" t="s">
        <v>17</v>
      </c>
      <c r="F14" s="9" t="s">
        <v>23</v>
      </c>
      <c r="G14" s="9" t="s">
        <v>33</v>
      </c>
      <c r="H14" s="10">
        <v>41000</v>
      </c>
      <c r="I14" s="11">
        <v>46200</v>
      </c>
      <c r="J14" s="11">
        <v>46215</v>
      </c>
    </row>
    <row r="15" spans="1:10">
      <c r="A15" s="9" t="s">
        <v>68</v>
      </c>
      <c r="B15" s="9" t="s">
        <v>69</v>
      </c>
      <c r="C15" s="9" t="s">
        <v>70</v>
      </c>
      <c r="D15" s="9" t="s">
        <v>71</v>
      </c>
      <c r="E15" s="9" t="s">
        <v>12</v>
      </c>
      <c r="F15" s="9" t="s">
        <v>13</v>
      </c>
      <c r="G15" s="9" t="s">
        <v>19</v>
      </c>
      <c r="H15" s="10">
        <v>80000</v>
      </c>
      <c r="I15" s="11">
        <v>46199</v>
      </c>
      <c r="J15" s="11">
        <v>46211</v>
      </c>
    </row>
    <row r="16" spans="1:10">
      <c r="A16" s="9" t="s">
        <v>72</v>
      </c>
      <c r="B16" s="9" t="s">
        <v>73</v>
      </c>
      <c r="C16" s="9" t="s">
        <v>74</v>
      </c>
      <c r="D16" s="9" t="s">
        <v>75</v>
      </c>
      <c r="E16" s="9" t="s">
        <v>22</v>
      </c>
      <c r="F16" s="9" t="s">
        <v>13</v>
      </c>
      <c r="G16" s="9" t="s">
        <v>14</v>
      </c>
      <c r="H16" s="10">
        <v>90000</v>
      </c>
      <c r="I16" s="11">
        <v>46204</v>
      </c>
      <c r="J16" s="11">
        <v>46218</v>
      </c>
    </row>
    <row r="17" spans="1:10">
      <c r="A17" s="9" t="s">
        <v>76</v>
      </c>
      <c r="B17" s="9" t="s">
        <v>77</v>
      </c>
      <c r="C17" s="9" t="s">
        <v>78</v>
      </c>
      <c r="D17" s="9" t="s">
        <v>79</v>
      </c>
      <c r="E17" s="9" t="s">
        <v>17</v>
      </c>
      <c r="F17" s="9" t="s">
        <v>18</v>
      </c>
      <c r="G17" s="9" t="s">
        <v>33</v>
      </c>
      <c r="H17" s="10">
        <v>28000</v>
      </c>
      <c r="I17" s="11">
        <v>46203</v>
      </c>
      <c r="J17" s="11">
        <v>46212</v>
      </c>
    </row>
    <row r="18" spans="1:10">
      <c r="A18" s="9" t="s">
        <v>80</v>
      </c>
      <c r="B18" s="9" t="s">
        <v>81</v>
      </c>
      <c r="C18" s="9" t="s">
        <v>82</v>
      </c>
      <c r="D18" s="9" t="s">
        <v>11</v>
      </c>
      <c r="E18" s="9" t="s">
        <v>12</v>
      </c>
      <c r="F18" s="9" t="s">
        <v>23</v>
      </c>
      <c r="G18" s="9" t="s">
        <v>19</v>
      </c>
      <c r="H18" s="10">
        <v>52000</v>
      </c>
      <c r="I18" s="11">
        <v>46202</v>
      </c>
      <c r="J18" s="11">
        <v>46216</v>
      </c>
    </row>
    <row r="19" spans="1:10">
      <c r="A19" s="9" t="s">
        <v>83</v>
      </c>
      <c r="B19" s="9" t="s">
        <v>84</v>
      </c>
      <c r="C19" s="9" t="s">
        <v>85</v>
      </c>
      <c r="D19" s="9" t="s">
        <v>86</v>
      </c>
      <c r="E19" s="9" t="s">
        <v>22</v>
      </c>
      <c r="F19" s="9" t="s">
        <v>13</v>
      </c>
      <c r="G19" s="9" t="s">
        <v>14</v>
      </c>
      <c r="H19" s="10">
        <v>67000</v>
      </c>
      <c r="I19" s="11">
        <v>46201</v>
      </c>
      <c r="J19" s="11">
        <v>46215</v>
      </c>
    </row>
    <row r="20" spans="1:10">
      <c r="A20" s="9" t="s">
        <v>87</v>
      </c>
      <c r="B20" s="9" t="s">
        <v>88</v>
      </c>
      <c r="C20" s="9" t="s">
        <v>89</v>
      </c>
      <c r="D20" s="9" t="s">
        <v>52</v>
      </c>
      <c r="E20" s="9" t="s">
        <v>17</v>
      </c>
      <c r="F20" s="9" t="s">
        <v>13</v>
      </c>
      <c r="G20" s="9" t="s">
        <v>33</v>
      </c>
      <c r="H20" s="10">
        <v>61000</v>
      </c>
      <c r="I20" s="11">
        <v>46200</v>
      </c>
      <c r="J20" s="11">
        <v>46214</v>
      </c>
    </row>
    <row r="21" spans="1:10">
      <c r="A21" s="9" t="s">
        <v>90</v>
      </c>
      <c r="B21" s="9" t="s">
        <v>91</v>
      </c>
      <c r="C21" s="9" t="s">
        <v>92</v>
      </c>
      <c r="D21" s="9" t="s">
        <v>93</v>
      </c>
      <c r="E21" s="9" t="s">
        <v>12</v>
      </c>
      <c r="F21" s="9" t="s">
        <v>18</v>
      </c>
      <c r="G21" s="9" t="s">
        <v>19</v>
      </c>
      <c r="H21" s="10">
        <v>33000</v>
      </c>
      <c r="I21" s="11">
        <v>46199</v>
      </c>
      <c r="J21" s="11">
        <v>46213</v>
      </c>
    </row>
    <row r="22" spans="1:10">
      <c r="A22" s="9" t="s">
        <v>94</v>
      </c>
      <c r="B22" s="9" t="s">
        <v>95</v>
      </c>
      <c r="C22" s="9" t="s">
        <v>96</v>
      </c>
      <c r="D22" s="9" t="s">
        <v>97</v>
      </c>
      <c r="E22" s="9" t="s">
        <v>22</v>
      </c>
      <c r="F22" s="9" t="s">
        <v>13</v>
      </c>
      <c r="G22" s="9" t="s">
        <v>14</v>
      </c>
      <c r="H22" s="10">
        <v>73000</v>
      </c>
      <c r="I22" s="11">
        <v>46204</v>
      </c>
      <c r="J22" s="11">
        <v>46217</v>
      </c>
    </row>
    <row r="23" spans="1:10">
      <c r="A23" s="9" t="s">
        <v>98</v>
      </c>
      <c r="B23" s="9" t="s">
        <v>99</v>
      </c>
      <c r="C23" s="9" t="s">
        <v>100</v>
      </c>
      <c r="D23" s="9" t="s">
        <v>16</v>
      </c>
      <c r="E23" s="9" t="s">
        <v>17</v>
      </c>
      <c r="F23" s="9" t="s">
        <v>23</v>
      </c>
      <c r="G23" s="9" t="s">
        <v>33</v>
      </c>
      <c r="H23" s="10">
        <v>39000</v>
      </c>
      <c r="I23" s="11">
        <v>46205</v>
      </c>
      <c r="J23" s="11">
        <v>46216</v>
      </c>
    </row>
    <row r="24" spans="1:10">
      <c r="A24" s="9" t="s">
        <v>101</v>
      </c>
      <c r="B24" s="9" t="s">
        <v>102</v>
      </c>
      <c r="C24" s="9" t="s">
        <v>103</v>
      </c>
      <c r="D24" s="9" t="s">
        <v>45</v>
      </c>
      <c r="E24" s="9" t="s">
        <v>12</v>
      </c>
      <c r="F24" s="9" t="s">
        <v>13</v>
      </c>
      <c r="G24" s="9" t="s">
        <v>19</v>
      </c>
      <c r="H24" s="10">
        <v>81000</v>
      </c>
      <c r="I24" s="11">
        <v>46203</v>
      </c>
      <c r="J24" s="11">
        <v>46212</v>
      </c>
    </row>
    <row r="25" spans="1:10">
      <c r="A25" s="9" t="s">
        <v>104</v>
      </c>
      <c r="B25" s="9" t="s">
        <v>105</v>
      </c>
      <c r="C25" s="9" t="s">
        <v>106</v>
      </c>
      <c r="D25" s="9" t="s">
        <v>11</v>
      </c>
      <c r="E25" s="9" t="s">
        <v>22</v>
      </c>
      <c r="F25" s="9" t="s">
        <v>13</v>
      </c>
      <c r="G25" s="9" t="s">
        <v>14</v>
      </c>
      <c r="H25" s="10">
        <v>64000</v>
      </c>
      <c r="I25" s="11">
        <v>46202</v>
      </c>
      <c r="J25" s="11">
        <v>46215</v>
      </c>
    </row>
    <row r="26" spans="1:10">
      <c r="A26" s="9" t="s">
        <v>107</v>
      </c>
      <c r="B26" s="9" t="s">
        <v>108</v>
      </c>
      <c r="C26" s="9" t="s">
        <v>109</v>
      </c>
      <c r="D26" s="9" t="s">
        <v>37</v>
      </c>
      <c r="E26" s="9" t="s">
        <v>17</v>
      </c>
      <c r="F26" s="9" t="s">
        <v>18</v>
      </c>
      <c r="G26" s="9" t="s">
        <v>33</v>
      </c>
      <c r="H26" s="10">
        <v>31000</v>
      </c>
      <c r="I26" s="11">
        <v>46201</v>
      </c>
      <c r="J26" s="11">
        <v>46211</v>
      </c>
    </row>
    <row r="27" spans="1:10">
      <c r="A27" s="9" t="s">
        <v>110</v>
      </c>
      <c r="B27" s="9" t="s">
        <v>111</v>
      </c>
      <c r="C27" s="9" t="s">
        <v>112</v>
      </c>
      <c r="D27" s="9" t="s">
        <v>59</v>
      </c>
      <c r="E27" s="9" t="s">
        <v>12</v>
      </c>
      <c r="F27" s="9" t="s">
        <v>23</v>
      </c>
      <c r="G27" s="9" t="s">
        <v>19</v>
      </c>
      <c r="H27" s="10">
        <v>56000</v>
      </c>
      <c r="I27" s="11">
        <v>46200</v>
      </c>
      <c r="J27" s="11">
        <v>46214</v>
      </c>
    </row>
    <row r="28" spans="1:10">
      <c r="A28" s="9" t="s">
        <v>113</v>
      </c>
      <c r="B28" s="9" t="s">
        <v>114</v>
      </c>
      <c r="C28" s="9" t="s">
        <v>115</v>
      </c>
      <c r="D28" s="9" t="s">
        <v>52</v>
      </c>
      <c r="E28" s="9" t="s">
        <v>22</v>
      </c>
      <c r="F28" s="9" t="s">
        <v>13</v>
      </c>
      <c r="G28" s="9" t="s">
        <v>14</v>
      </c>
      <c r="H28" s="10">
        <v>88000</v>
      </c>
      <c r="I28" s="11">
        <v>46199</v>
      </c>
      <c r="J28" s="11">
        <v>46218</v>
      </c>
    </row>
    <row r="29" spans="1:10">
      <c r="A29" s="9" t="s">
        <v>116</v>
      </c>
      <c r="B29" s="9" t="s">
        <v>117</v>
      </c>
      <c r="C29" s="9" t="s">
        <v>118</v>
      </c>
      <c r="D29" s="9" t="s">
        <v>32</v>
      </c>
      <c r="E29" s="9" t="s">
        <v>17</v>
      </c>
      <c r="F29" s="9" t="s">
        <v>13</v>
      </c>
      <c r="G29" s="9" t="s">
        <v>33</v>
      </c>
      <c r="H29" s="10">
        <v>47000</v>
      </c>
      <c r="I29" s="11">
        <v>46204</v>
      </c>
      <c r="J29" s="11">
        <v>46213</v>
      </c>
    </row>
    <row r="30" spans="1:10">
      <c r="A30" s="9" t="s">
        <v>119</v>
      </c>
      <c r="B30" s="9" t="s">
        <v>120</v>
      </c>
      <c r="C30" s="9" t="s">
        <v>121</v>
      </c>
      <c r="D30" s="9" t="s">
        <v>67</v>
      </c>
      <c r="E30" s="9" t="s">
        <v>12</v>
      </c>
      <c r="F30" s="9" t="s">
        <v>18</v>
      </c>
      <c r="G30" s="9" t="s">
        <v>19</v>
      </c>
      <c r="H30" s="10">
        <v>29000</v>
      </c>
      <c r="I30" s="11">
        <v>46203</v>
      </c>
      <c r="J30" s="11">
        <v>46215</v>
      </c>
    </row>
    <row r="31" spans="1:10">
      <c r="A31" s="9" t="s">
        <v>122</v>
      </c>
      <c r="B31" s="9" t="s">
        <v>123</v>
      </c>
      <c r="C31" s="9" t="s">
        <v>124</v>
      </c>
      <c r="D31" s="9" t="s">
        <v>11</v>
      </c>
      <c r="E31" s="9" t="s">
        <v>22</v>
      </c>
      <c r="F31" s="9" t="s">
        <v>23</v>
      </c>
      <c r="G31" s="9" t="s">
        <v>14</v>
      </c>
      <c r="H31" s="10">
        <v>51000</v>
      </c>
      <c r="I31" s="11">
        <v>46202</v>
      </c>
      <c r="J31" s="11">
        <v>46216</v>
      </c>
    </row>
    <row r="32" spans="1:10">
      <c r="A32" s="9" t="s">
        <v>125</v>
      </c>
      <c r="B32" s="9" t="s">
        <v>126</v>
      </c>
      <c r="C32" s="9" t="s">
        <v>127</v>
      </c>
      <c r="D32" s="9" t="s">
        <v>71</v>
      </c>
      <c r="E32" s="9" t="s">
        <v>17</v>
      </c>
      <c r="F32" s="9" t="s">
        <v>13</v>
      </c>
      <c r="G32" s="9" t="s">
        <v>33</v>
      </c>
      <c r="H32" s="10">
        <v>69000</v>
      </c>
      <c r="I32" s="11">
        <v>46201</v>
      </c>
      <c r="J32" s="11">
        <v>46214</v>
      </c>
    </row>
    <row r="33" spans="1:10">
      <c r="A33" s="9" t="s">
        <v>128</v>
      </c>
      <c r="B33" s="9" t="s">
        <v>129</v>
      </c>
      <c r="C33" s="9" t="s">
        <v>130</v>
      </c>
      <c r="D33" s="9" t="s">
        <v>86</v>
      </c>
      <c r="E33" s="9" t="s">
        <v>12</v>
      </c>
      <c r="F33" s="9" t="s">
        <v>13</v>
      </c>
      <c r="G33" s="9" t="s">
        <v>19</v>
      </c>
      <c r="H33" s="10">
        <v>74000</v>
      </c>
      <c r="I33" s="11">
        <v>46200</v>
      </c>
      <c r="J33" s="11">
        <v>46212</v>
      </c>
    </row>
    <row r="34" spans="1:10">
      <c r="A34" s="9" t="s">
        <v>131</v>
      </c>
      <c r="B34" s="9" t="s">
        <v>132</v>
      </c>
      <c r="C34" s="9" t="s">
        <v>133</v>
      </c>
      <c r="D34" s="9" t="s">
        <v>41</v>
      </c>
      <c r="E34" s="9" t="s">
        <v>22</v>
      </c>
      <c r="F34" s="9" t="s">
        <v>18</v>
      </c>
      <c r="G34" s="9" t="s">
        <v>14</v>
      </c>
      <c r="H34" s="10">
        <v>26000</v>
      </c>
      <c r="I34" s="11">
        <v>46199</v>
      </c>
      <c r="J34" s="11">
        <v>46211</v>
      </c>
    </row>
    <row r="35" spans="1:10">
      <c r="A35" s="9" t="s">
        <v>134</v>
      </c>
      <c r="B35" s="9" t="s">
        <v>135</v>
      </c>
      <c r="C35" s="9" t="s">
        <v>136</v>
      </c>
      <c r="D35" s="9" t="s">
        <v>93</v>
      </c>
      <c r="E35" s="9" t="s">
        <v>17</v>
      </c>
      <c r="F35" s="9" t="s">
        <v>23</v>
      </c>
      <c r="G35" s="9" t="s">
        <v>33</v>
      </c>
      <c r="H35" s="10">
        <v>45000</v>
      </c>
      <c r="I35" s="11">
        <v>46204</v>
      </c>
      <c r="J35" s="11">
        <v>46215</v>
      </c>
    </row>
    <row r="36" spans="1:10">
      <c r="A36" s="9" t="s">
        <v>137</v>
      </c>
      <c r="B36" s="9" t="s">
        <v>138</v>
      </c>
      <c r="C36" s="9" t="s">
        <v>139</v>
      </c>
      <c r="D36" s="9" t="s">
        <v>37</v>
      </c>
      <c r="E36" s="9" t="s">
        <v>12</v>
      </c>
      <c r="F36" s="9" t="s">
        <v>13</v>
      </c>
      <c r="G36" s="9" t="s">
        <v>19</v>
      </c>
      <c r="H36" s="10">
        <v>82000</v>
      </c>
      <c r="I36" s="11">
        <v>46205</v>
      </c>
      <c r="J36" s="11">
        <v>46217</v>
      </c>
    </row>
    <row r="37" spans="1:10">
      <c r="A37" s="9" t="s">
        <v>140</v>
      </c>
      <c r="B37" s="9" t="s">
        <v>141</v>
      </c>
      <c r="C37" s="9" t="s">
        <v>142</v>
      </c>
      <c r="D37" s="9" t="s">
        <v>79</v>
      </c>
      <c r="E37" s="9" t="s">
        <v>22</v>
      </c>
      <c r="F37" s="9" t="s">
        <v>13</v>
      </c>
      <c r="G37" s="9" t="s">
        <v>14</v>
      </c>
      <c r="H37" s="10">
        <v>53000</v>
      </c>
      <c r="I37" s="11">
        <v>46203</v>
      </c>
      <c r="J37" s="11">
        <v>46213</v>
      </c>
    </row>
    <row r="38" spans="1:10">
      <c r="A38" s="9" t="s">
        <v>143</v>
      </c>
      <c r="B38" s="9" t="s">
        <v>144</v>
      </c>
      <c r="C38" s="9" t="s">
        <v>145</v>
      </c>
      <c r="D38" s="9" t="s">
        <v>45</v>
      </c>
      <c r="E38" s="9" t="s">
        <v>17</v>
      </c>
      <c r="F38" s="9" t="s">
        <v>18</v>
      </c>
      <c r="G38" s="9" t="s">
        <v>33</v>
      </c>
      <c r="H38" s="10">
        <v>34000</v>
      </c>
      <c r="I38" s="11">
        <v>46202</v>
      </c>
      <c r="J38" s="11">
        <v>46212</v>
      </c>
    </row>
    <row r="39" spans="1:10">
      <c r="A39" s="9" t="s">
        <v>146</v>
      </c>
      <c r="B39" s="9" t="s">
        <v>147</v>
      </c>
      <c r="C39" s="9" t="s">
        <v>148</v>
      </c>
      <c r="D39" s="9" t="s">
        <v>149</v>
      </c>
      <c r="E39" s="9" t="s">
        <v>12</v>
      </c>
      <c r="F39" s="9" t="s">
        <v>23</v>
      </c>
      <c r="G39" s="9" t="s">
        <v>19</v>
      </c>
      <c r="H39" s="10">
        <v>62000</v>
      </c>
      <c r="I39" s="11">
        <v>46201</v>
      </c>
      <c r="J39" s="11">
        <v>46216</v>
      </c>
    </row>
    <row r="40" spans="1:10">
      <c r="A40" s="9" t="s">
        <v>150</v>
      </c>
      <c r="B40" s="9" t="s">
        <v>151</v>
      </c>
      <c r="C40" s="9" t="s">
        <v>152</v>
      </c>
      <c r="D40" s="9" t="s">
        <v>97</v>
      </c>
      <c r="E40" s="9" t="s">
        <v>22</v>
      </c>
      <c r="F40" s="9" t="s">
        <v>13</v>
      </c>
      <c r="G40" s="9" t="s">
        <v>14</v>
      </c>
      <c r="H40" s="10">
        <v>91000</v>
      </c>
      <c r="I40" s="11">
        <v>46200</v>
      </c>
      <c r="J40" s="11">
        <v>46218</v>
      </c>
    </row>
    <row r="41" spans="1:10">
      <c r="A41" s="9" t="s">
        <v>153</v>
      </c>
      <c r="B41" s="9" t="s">
        <v>154</v>
      </c>
      <c r="C41" s="9" t="s">
        <v>155</v>
      </c>
      <c r="D41" s="9" t="s">
        <v>16</v>
      </c>
      <c r="E41" s="9" t="s">
        <v>17</v>
      </c>
      <c r="F41" s="9" t="s">
        <v>13</v>
      </c>
      <c r="G41" s="9" t="s">
        <v>33</v>
      </c>
      <c r="H41" s="10">
        <v>48000</v>
      </c>
      <c r="I41" s="11">
        <v>46199</v>
      </c>
      <c r="J41" s="11">
        <v>46214</v>
      </c>
    </row>
    <row r="42" spans="1:10">
      <c r="A42" s="9" t="s">
        <v>156</v>
      </c>
      <c r="B42" s="9" t="s">
        <v>157</v>
      </c>
      <c r="C42" s="9" t="s">
        <v>158</v>
      </c>
      <c r="D42" s="9" t="s">
        <v>11</v>
      </c>
      <c r="E42" s="9" t="s">
        <v>12</v>
      </c>
      <c r="F42" s="9" t="s">
        <v>18</v>
      </c>
      <c r="G42" s="9" t="s">
        <v>19</v>
      </c>
      <c r="H42" s="10">
        <v>35000</v>
      </c>
      <c r="I42" s="11">
        <v>46204</v>
      </c>
      <c r="J42" s="11">
        <v>46215</v>
      </c>
    </row>
    <row r="43" spans="1:10">
      <c r="A43" s="9" t="s">
        <v>159</v>
      </c>
      <c r="B43" s="9" t="s">
        <v>160</v>
      </c>
      <c r="C43" s="9" t="s">
        <v>161</v>
      </c>
      <c r="D43" s="9" t="s">
        <v>52</v>
      </c>
      <c r="E43" s="9" t="s">
        <v>22</v>
      </c>
      <c r="F43" s="9" t="s">
        <v>23</v>
      </c>
      <c r="G43" s="9" t="s">
        <v>14</v>
      </c>
      <c r="H43" s="10">
        <v>57000</v>
      </c>
      <c r="I43" s="11">
        <v>46205</v>
      </c>
      <c r="J43" s="11">
        <v>46216</v>
      </c>
    </row>
    <row r="44" spans="1:10">
      <c r="A44" s="9" t="s">
        <v>162</v>
      </c>
      <c r="B44" s="9" t="s">
        <v>163</v>
      </c>
      <c r="C44" s="9" t="s">
        <v>164</v>
      </c>
      <c r="D44" s="9" t="s">
        <v>32</v>
      </c>
      <c r="E44" s="9" t="s">
        <v>17</v>
      </c>
      <c r="F44" s="9" t="s">
        <v>13</v>
      </c>
      <c r="G44" s="9" t="s">
        <v>33</v>
      </c>
      <c r="H44" s="10">
        <v>66000</v>
      </c>
      <c r="I44" s="11">
        <v>46203</v>
      </c>
      <c r="J44" s="11">
        <v>46212</v>
      </c>
    </row>
    <row r="45" spans="1:10">
      <c r="A45" s="9" t="s">
        <v>165</v>
      </c>
      <c r="B45" s="9" t="s">
        <v>166</v>
      </c>
      <c r="C45" s="9" t="s">
        <v>167</v>
      </c>
      <c r="D45" s="9" t="s">
        <v>11</v>
      </c>
      <c r="E45" s="9" t="s">
        <v>12</v>
      </c>
      <c r="F45" s="9" t="s">
        <v>13</v>
      </c>
      <c r="G45" s="9" t="s">
        <v>19</v>
      </c>
      <c r="H45" s="10">
        <v>87000</v>
      </c>
      <c r="I45" s="11">
        <v>46202</v>
      </c>
      <c r="J45" s="11">
        <v>46214</v>
      </c>
    </row>
    <row r="46" spans="1:10">
      <c r="A46" s="9" t="s">
        <v>168</v>
      </c>
      <c r="B46" s="9" t="s">
        <v>169</v>
      </c>
      <c r="C46" s="9" t="s">
        <v>170</v>
      </c>
      <c r="D46" s="9" t="s">
        <v>37</v>
      </c>
      <c r="E46" s="9" t="s">
        <v>22</v>
      </c>
      <c r="F46" s="9" t="s">
        <v>18</v>
      </c>
      <c r="G46" s="9" t="s">
        <v>14</v>
      </c>
      <c r="H46" s="10">
        <v>32000</v>
      </c>
      <c r="I46" s="11">
        <v>46201</v>
      </c>
      <c r="J46" s="11">
        <v>46213</v>
      </c>
    </row>
    <row r="47" spans="1:10">
      <c r="A47" s="9" t="s">
        <v>171</v>
      </c>
      <c r="B47" s="9" t="s">
        <v>172</v>
      </c>
      <c r="C47" s="9" t="s">
        <v>173</v>
      </c>
      <c r="D47" s="9" t="s">
        <v>86</v>
      </c>
      <c r="E47" s="9" t="s">
        <v>17</v>
      </c>
      <c r="F47" s="9" t="s">
        <v>23</v>
      </c>
      <c r="G47" s="9" t="s">
        <v>33</v>
      </c>
      <c r="H47" s="10">
        <v>44000</v>
      </c>
      <c r="I47" s="11">
        <v>46200</v>
      </c>
      <c r="J47" s="11">
        <v>46215</v>
      </c>
    </row>
    <row r="48" spans="1:10">
      <c r="A48" s="9" t="s">
        <v>174</v>
      </c>
      <c r="B48" s="9" t="s">
        <v>175</v>
      </c>
      <c r="C48" s="9" t="s">
        <v>176</v>
      </c>
      <c r="D48" s="9" t="s">
        <v>41</v>
      </c>
      <c r="E48" s="9" t="s">
        <v>12</v>
      </c>
      <c r="F48" s="9" t="s">
        <v>13</v>
      </c>
      <c r="G48" s="9" t="s">
        <v>19</v>
      </c>
      <c r="H48" s="10">
        <v>76000</v>
      </c>
      <c r="I48" s="11">
        <v>46199</v>
      </c>
      <c r="J48" s="11">
        <v>46217</v>
      </c>
    </row>
    <row r="49" spans="1:10">
      <c r="A49" s="9" t="s">
        <v>177</v>
      </c>
      <c r="B49" s="9" t="s">
        <v>178</v>
      </c>
      <c r="C49" s="9" t="s">
        <v>179</v>
      </c>
      <c r="D49" s="9" t="s">
        <v>45</v>
      </c>
      <c r="E49" s="9" t="s">
        <v>22</v>
      </c>
      <c r="F49" s="9" t="s">
        <v>13</v>
      </c>
      <c r="G49" s="9" t="s">
        <v>14</v>
      </c>
      <c r="H49" s="10">
        <v>68000</v>
      </c>
      <c r="I49" s="11">
        <v>46204</v>
      </c>
      <c r="J49" s="11">
        <v>46218</v>
      </c>
    </row>
    <row r="50" spans="1:10">
      <c r="A50" s="9" t="s">
        <v>180</v>
      </c>
      <c r="B50" s="9" t="s">
        <v>181</v>
      </c>
      <c r="C50" s="9" t="s">
        <v>182</v>
      </c>
      <c r="D50" s="9" t="s">
        <v>93</v>
      </c>
      <c r="E50" s="9" t="s">
        <v>17</v>
      </c>
      <c r="F50" s="9" t="s">
        <v>18</v>
      </c>
      <c r="G50" s="9" t="s">
        <v>33</v>
      </c>
      <c r="H50" s="10">
        <v>30000</v>
      </c>
      <c r="I50" s="11">
        <v>46203</v>
      </c>
      <c r="J50" s="11">
        <v>46212</v>
      </c>
    </row>
    <row r="51" spans="1:10">
      <c r="A51" s="9" t="s">
        <v>183</v>
      </c>
      <c r="B51" s="9" t="s">
        <v>184</v>
      </c>
      <c r="C51" s="9" t="s">
        <v>185</v>
      </c>
      <c r="D51" s="9" t="s">
        <v>37</v>
      </c>
      <c r="E51" s="9" t="s">
        <v>12</v>
      </c>
      <c r="F51" s="9" t="s">
        <v>23</v>
      </c>
      <c r="G51" s="9" t="s">
        <v>19</v>
      </c>
      <c r="H51" s="10">
        <v>59000</v>
      </c>
      <c r="I51" s="11">
        <v>46205</v>
      </c>
      <c r="J51" s="11">
        <v>46216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73A2-D536-447A-A52F-82271648B3AC}">
  <dimension ref="A1:L14"/>
  <sheetViews>
    <sheetView tabSelected="1" zoomScale="114" workbookViewId="0">
      <selection activeCell="M8" sqref="M8"/>
    </sheetView>
  </sheetViews>
  <sheetFormatPr defaultRowHeight="14.4"/>
  <cols>
    <col min="1" max="1" width="16.77734375" bestFit="1" customWidth="1"/>
    <col min="5" max="5" width="12.5546875" bestFit="1" customWidth="1"/>
    <col min="8" max="8" width="9" bestFit="1" customWidth="1"/>
    <col min="9" max="9" width="9.88671875" bestFit="1" customWidth="1"/>
    <col min="10" max="10" width="15.6640625" customWidth="1"/>
    <col min="11" max="11" width="11.21875" bestFit="1" customWidth="1"/>
    <col min="13" max="13" width="12.5546875" bestFit="1" customWidth="1"/>
    <col min="14" max="14" width="17.44140625" bestFit="1" customWidth="1"/>
    <col min="15" max="15" width="13.77734375" bestFit="1" customWidth="1"/>
    <col min="16" max="16" width="14.6640625" bestFit="1" customWidth="1"/>
    <col min="17" max="17" width="9.33203125" bestFit="1" customWidth="1"/>
    <col min="18" max="18" width="12.77734375" bestFit="1" customWidth="1"/>
    <col min="19" max="19" width="16.21875" bestFit="1" customWidth="1"/>
    <col min="20" max="20" width="19.44140625" bestFit="1" customWidth="1"/>
    <col min="21" max="21" width="8.5546875" bestFit="1" customWidth="1"/>
    <col min="22" max="22" width="9.88671875" bestFit="1" customWidth="1"/>
    <col min="23" max="23" width="7" bestFit="1" customWidth="1"/>
    <col min="24" max="24" width="10.77734375" bestFit="1" customWidth="1"/>
  </cols>
  <sheetData>
    <row r="1" spans="1:12">
      <c r="A1" t="s">
        <v>198</v>
      </c>
      <c r="B1">
        <f>COUNTA(Customers!A2:A51)</f>
        <v>50</v>
      </c>
      <c r="H1" s="1"/>
      <c r="I1" s="1"/>
      <c r="K1" s="1"/>
      <c r="L1" s="1"/>
    </row>
    <row r="2" spans="1:12">
      <c r="A2" t="s">
        <v>186</v>
      </c>
      <c r="B2">
        <f>SUM(Customers!H2:H100)</f>
        <v>2723000</v>
      </c>
      <c r="E2" s="12" t="s">
        <v>5</v>
      </c>
      <c r="F2" s="12" t="s">
        <v>210</v>
      </c>
      <c r="H2" s="23" t="s">
        <v>6</v>
      </c>
      <c r="I2" s="23" t="s">
        <v>211</v>
      </c>
      <c r="K2" s="23" t="s">
        <v>4</v>
      </c>
      <c r="L2" s="23" t="s">
        <v>210</v>
      </c>
    </row>
    <row r="3" spans="1:12">
      <c r="A3" t="s">
        <v>187</v>
      </c>
      <c r="B3">
        <f>COUNTIF(Customers!F2:F100,"Won")</f>
        <v>25</v>
      </c>
      <c r="E3" t="s">
        <v>187</v>
      </c>
      <c r="F3">
        <f>COUNTIF(Customers!F:F,"Won")</f>
        <v>25</v>
      </c>
      <c r="H3" s="2" t="s">
        <v>14</v>
      </c>
      <c r="I3" s="22">
        <f>SUMIF(Customers!G:G,"Alex",Customers!H:H)</f>
        <v>1012000</v>
      </c>
      <c r="K3" s="5" t="s">
        <v>12</v>
      </c>
      <c r="L3" s="5">
        <f>COUNTIF(Customers!E:E,"LinkedIn")</f>
        <v>17</v>
      </c>
    </row>
    <row r="4" spans="1:12">
      <c r="A4" t="s">
        <v>188</v>
      </c>
      <c r="B4">
        <f>COUNTIF(Customers!F2:F100,"Lost")</f>
        <v>12</v>
      </c>
      <c r="E4" t="s">
        <v>188</v>
      </c>
      <c r="F4">
        <f>COUNTIF(Customers!F:F,"Lost")</f>
        <v>12</v>
      </c>
      <c r="H4" s="2" t="s">
        <v>19</v>
      </c>
      <c r="I4" s="22">
        <f>SUMIF(Customers!G:G,"Emma",Customers!H:H)</f>
        <v>1003000</v>
      </c>
      <c r="K4" s="5" t="s">
        <v>17</v>
      </c>
      <c r="L4" s="5" cm="1">
        <f t="array" ref="L4">COUNTIF(Customers!E:E,website)</f>
        <v>0</v>
      </c>
    </row>
    <row r="5" spans="1:12">
      <c r="A5" t="s">
        <v>189</v>
      </c>
      <c r="B5">
        <f>COUNTIF(Customers!F2:F100,"Pending")</f>
        <v>13</v>
      </c>
      <c r="E5" t="s">
        <v>189</v>
      </c>
      <c r="F5">
        <f>COUNTIF(Customers!F:F,"Pending")</f>
        <v>13</v>
      </c>
      <c r="G5" s="12"/>
      <c r="H5" s="2" t="s">
        <v>33</v>
      </c>
      <c r="I5" s="22">
        <f>SUMIF(Customers!G:G,"Chris",Customers!H:H)</f>
        <v>708000</v>
      </c>
      <c r="K5" s="5" t="s">
        <v>22</v>
      </c>
      <c r="L5" s="5">
        <f>COUNTIF(Customers!E:E,"Referral")</f>
        <v>16</v>
      </c>
    </row>
    <row r="6" spans="1:12">
      <c r="A6" t="s">
        <v>190</v>
      </c>
      <c r="B6">
        <f>B3/B1</f>
        <v>0.5</v>
      </c>
    </row>
    <row r="7" spans="1:12">
      <c r="A7" t="s">
        <v>191</v>
      </c>
      <c r="B7">
        <f>AVERAGE(Customers!H2:H100)</f>
        <v>54460</v>
      </c>
    </row>
    <row r="8" spans="1:12">
      <c r="A8" t="s">
        <v>192</v>
      </c>
      <c r="B8">
        <f>SUMIF(Customers!G:G,"Alex",Customers!H:H)</f>
        <v>1012000</v>
      </c>
    </row>
    <row r="9" spans="1:12">
      <c r="A9" t="s">
        <v>193</v>
      </c>
      <c r="B9">
        <f>COUNTIF(Customers!E:E,"LinkedIn")</f>
        <v>17</v>
      </c>
    </row>
    <row r="10" spans="1:12">
      <c r="A10" t="s">
        <v>195</v>
      </c>
      <c r="B10">
        <f>COUNTIF(Customers!F:F,"Won")</f>
        <v>25</v>
      </c>
      <c r="C10" t="s">
        <v>194</v>
      </c>
    </row>
    <row r="11" spans="1:12">
      <c r="A11" t="s">
        <v>196</v>
      </c>
      <c r="B11">
        <f>COUNTIF(Customers!F:F,"Lost")</f>
        <v>12</v>
      </c>
      <c r="C11" t="s">
        <v>194</v>
      </c>
    </row>
    <row r="12" spans="1:12">
      <c r="A12" t="s">
        <v>23</v>
      </c>
      <c r="B12">
        <f>COUNTIF(Customers!F:F,"Pending")</f>
        <v>13</v>
      </c>
      <c r="C12" t="s">
        <v>194</v>
      </c>
    </row>
    <row r="13" spans="1:12">
      <c r="A13" t="s">
        <v>197</v>
      </c>
      <c r="B13" cm="1">
        <f t="array" aca="1" ref="B13" ca="1">_xlfn._xlws.FILTER(A2:I100,I2:I100&lt;=TODAY()+7)</f>
        <v>0</v>
      </c>
    </row>
    <row r="14" spans="1:12">
      <c r="C14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9710-A905-498A-836B-D39987D92FDD}">
  <dimension ref="A1:L13"/>
  <sheetViews>
    <sheetView workbookViewId="0">
      <selection activeCell="A15" sqref="A15:B18"/>
    </sheetView>
  </sheetViews>
  <sheetFormatPr defaultRowHeight="14.4"/>
  <cols>
    <col min="1" max="1" width="18" style="4" bestFit="1" customWidth="1"/>
    <col min="2" max="2" width="6" style="4" bestFit="1" customWidth="1"/>
    <col min="3" max="3" width="9.77734375" style="4" bestFit="1" customWidth="1"/>
    <col min="4" max="4" width="8" style="4" bestFit="1" customWidth="1"/>
    <col min="5" max="5" width="9.33203125" style="4" bestFit="1" customWidth="1"/>
    <col min="6" max="6" width="4.44140625" style="4" bestFit="1" customWidth="1"/>
    <col min="7" max="16384" width="8.88671875" style="4"/>
  </cols>
  <sheetData>
    <row r="1" spans="1:12">
      <c r="A1" s="13" t="s">
        <v>202</v>
      </c>
      <c r="B1" s="13"/>
      <c r="C1" s="13"/>
      <c r="D1" s="13"/>
      <c r="E1" s="13"/>
      <c r="F1" s="13"/>
    </row>
    <row r="2" spans="1:12">
      <c r="A2" s="3" t="s">
        <v>199</v>
      </c>
      <c r="B2" s="3" t="s">
        <v>200</v>
      </c>
      <c r="C2" s="3" t="s">
        <v>203</v>
      </c>
      <c r="D2" s="3" t="s">
        <v>204</v>
      </c>
      <c r="E2" s="3" t="s">
        <v>205</v>
      </c>
      <c r="F2" s="3" t="s">
        <v>206</v>
      </c>
    </row>
    <row r="3" spans="1:12" ht="18">
      <c r="A3" s="14" t="s">
        <v>198</v>
      </c>
      <c r="B3" s="14">
        <v>50</v>
      </c>
      <c r="C3" s="15" t="s">
        <v>187</v>
      </c>
      <c r="D3" s="15">
        <v>25</v>
      </c>
      <c r="E3" s="16" t="s">
        <v>188</v>
      </c>
      <c r="F3" s="16">
        <v>12</v>
      </c>
    </row>
    <row r="4" spans="1:12">
      <c r="A4" s="17" t="s">
        <v>189</v>
      </c>
      <c r="B4" s="17">
        <v>13</v>
      </c>
      <c r="C4" s="18" t="s">
        <v>207</v>
      </c>
      <c r="D4" s="18">
        <v>2723000</v>
      </c>
      <c r="E4" s="19" t="s">
        <v>190</v>
      </c>
      <c r="F4" s="20">
        <v>0.5</v>
      </c>
    </row>
    <row r="5" spans="1:12">
      <c r="A5" s="21" t="s">
        <v>208</v>
      </c>
      <c r="B5" s="21">
        <v>54460</v>
      </c>
    </row>
    <row r="10" spans="1:12">
      <c r="A10" s="4" t="s">
        <v>201</v>
      </c>
    </row>
    <row r="13" spans="1:12">
      <c r="L13" s="4" t="s">
        <v>209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Dashboard</vt:lpstr>
      <vt:lpstr>CRM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</dc:creator>
  <cp:lastModifiedBy>Rishikawk@gmail.com</cp:lastModifiedBy>
  <dcterms:created xsi:type="dcterms:W3CDTF">2015-06-05T18:17:20Z</dcterms:created>
  <dcterms:modified xsi:type="dcterms:W3CDTF">2026-07-02T16:49:02Z</dcterms:modified>
</cp:coreProperties>
</file>